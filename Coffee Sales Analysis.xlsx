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XXXVV\Desktop\"/>
    </mc:Choice>
  </mc:AlternateContent>
  <xr:revisionPtr revIDLastSave="0" documentId="13_ncr:1_{2421D9DF-36B2-45CC-AF96-418911522CD2}" xr6:coauthVersionLast="47" xr6:coauthVersionMax="47" xr10:uidLastSave="{00000000-0000-0000-0000-000000000000}"/>
  <bookViews>
    <workbookView xWindow="-108" yWindow="-108" windowWidth="23256" windowHeight="12456" xr2:uid="{00000000-000D-0000-FFFF-FFFF00000000}"/>
  </bookViews>
  <sheets>
    <sheet name="orders" sheetId="17" r:id="rId1"/>
    <sheet name="Dashboard" sheetId="25" r:id="rId2"/>
    <sheet name="Total Sales" sheetId="18" r:id="rId3"/>
    <sheet name="CountryBarChart" sheetId="23" r:id="rId4"/>
    <sheet name="Top5Customers" sheetId="24" r:id="rId5"/>
    <sheet name="customers" sheetId="13" r:id="rId6"/>
    <sheet name="products" sheetId="2" r:id="rId7"/>
  </sheets>
  <definedNames>
    <definedName name="_xlnm._FilterDatabase" localSheetId="0"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<sst xmlns="http://schemas.openxmlformats.org/spreadsheetml/2006/main" count="11128" uniqueCount="6221">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</sst>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Light16">
    <tableStyle name="Purple Slicer" pivot="0" table="0" count="6" xr9:uid="{C8598ADB-2665-493A-A6BD-1D84B06A4351}">
      <tableStyleElement type="wholeTable" dxfId="15"/>
      <tableStyleElement type="headerRow" dxfId="14"/>
    </tableStyle>
    <tableStyle name="Purple Timeline Style" pivot="0" table="0" count="8" xr9:uid="{7A850E89-FEDF-443A-9F09-225C1A3A3458}">
      <tableStyleElement type="wholeTable" dxfId="13"/>
      <tableStyleElement type="headerRow" dxfId="12"/>
    </tableStyle>
  </tableStyles>
  <colors>
    <mruColors>
      <color rgb="FF3C1464"/>
      <color rgb="FF005024"/>
      <color rgb="FF00EE6C"/>
      <color rgb="FFAFFFD3"/>
      <color rgb="FF9752DC"/>
      <color rgb="FF8E410C"/>
      <color rgb="FFDBC3F3"/>
      <color rgb="FFF1BAA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752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E410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E41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8E41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70C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CEC-4738-BB23-1DA4D65DE67A}"/>
            </c:ext>
          </c:extLst>
        </c:ser>
        <c:ser>
          <c:idx val="1"/>
          <c:order val="1"/>
          <c:tx>
            <c:strRef>
              <c:f>'Total Sales'!$D$3:$D$4</c:f>
              <c:strCache>
                <c:ptCount val="1"/>
                <c:pt idx="0">
                  <c:v>Excelsa</c:v>
                </c:pt>
              </c:strCache>
            </c:strRef>
          </c:tx>
          <c:spPr>
            <a:ln w="28575" cap="rnd">
              <a:solidFill>
                <a:srgbClr val="8E410C"/>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CEC-4738-BB23-1DA4D65DE67A}"/>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CEC-4738-BB23-1DA4D65DE67A}"/>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CEC-4738-BB23-1DA4D65DE67A}"/>
            </c:ext>
          </c:extLst>
        </c:ser>
        <c:dLbls>
          <c:showLegendKey val="0"/>
          <c:showVal val="0"/>
          <c:showCatName val="0"/>
          <c:showSerName val="0"/>
          <c:showPercent val="0"/>
          <c:showBubbleSize val="0"/>
        </c:dLbls>
        <c:smooth val="0"/>
        <c:axId val="364959728"/>
        <c:axId val="364977488"/>
      </c:lineChart>
      <c:catAx>
        <c:axId val="36495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64977488"/>
        <c:crosses val="autoZero"/>
        <c:auto val="1"/>
        <c:lblAlgn val="ctr"/>
        <c:lblOffset val="100"/>
        <c:noMultiLvlLbl val="0"/>
      </c:catAx>
      <c:valAx>
        <c:axId val="36497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64959728"/>
        <c:crosses val="autoZero"/>
        <c:crossBetween val="between"/>
      </c:valAx>
      <c:spPr>
        <a:solidFill>
          <a:srgbClr val="DBC3F3"/>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3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AFFFD3"/>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EE6C"/>
          </a:solidFill>
          <a:ln w="25400">
            <a:solidFill>
              <a:schemeClr val="bg1"/>
            </a:solidFill>
          </a:ln>
          <a:effectLst/>
        </c:spPr>
      </c:pivotFmt>
      <c:pivotFmt>
        <c:idx val="5"/>
        <c:spPr>
          <a:solidFill>
            <a:srgbClr val="005024"/>
          </a:solidFill>
          <a:ln w="25400">
            <a:solidFill>
              <a:schemeClr val="bg1"/>
            </a:solidFill>
          </a:ln>
          <a:effectLst/>
        </c:spPr>
      </c:pivotFmt>
      <c:pivotFmt>
        <c:idx val="6"/>
        <c:spPr>
          <a:solidFill>
            <a:srgbClr val="AFFFD3"/>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EE6C"/>
          </a:solidFill>
          <a:ln w="25400">
            <a:solidFill>
              <a:schemeClr val="bg1"/>
            </a:solidFill>
          </a:ln>
          <a:effectLst/>
        </c:spPr>
      </c:pivotFmt>
      <c:pivotFmt>
        <c:idx val="8"/>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AFFFD3"/>
            </a:solidFill>
            <a:ln w="25400">
              <a:solidFill>
                <a:schemeClr val="bg1"/>
              </a:solidFill>
            </a:ln>
            <a:effectLst/>
          </c:spPr>
          <c:invertIfNegative val="0"/>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1-E2BB-48E8-8798-A1C7A5E09706}"/>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3-E2BB-48E8-8798-A1C7A5E09706}"/>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E2BB-48E8-8798-A1C7A5E09706}"/>
            </c:ext>
          </c:extLst>
        </c:ser>
        <c:dLbls>
          <c:dLblPos val="outEnd"/>
          <c:showLegendKey val="0"/>
          <c:showVal val="1"/>
          <c:showCatName val="0"/>
          <c:showSerName val="0"/>
          <c:showPercent val="0"/>
          <c:showBubbleSize val="0"/>
        </c:dLbls>
        <c:gapWidth val="182"/>
        <c:axId val="907781904"/>
        <c:axId val="907782384"/>
      </c:barChart>
      <c:catAx>
        <c:axId val="90778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07782384"/>
        <c:crosses val="autoZero"/>
        <c:auto val="1"/>
        <c:lblAlgn val="ctr"/>
        <c:lblOffset val="100"/>
        <c:noMultiLvlLbl val="0"/>
      </c:catAx>
      <c:valAx>
        <c:axId val="907782384"/>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0778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3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AFFFD3"/>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EE6C"/>
          </a:solidFill>
          <a:ln w="25400">
            <a:solidFill>
              <a:schemeClr val="bg1"/>
            </a:solidFill>
          </a:ln>
          <a:effectLst/>
        </c:spPr>
      </c:pivotFmt>
      <c:pivotFmt>
        <c:idx val="5"/>
        <c:spPr>
          <a:solidFill>
            <a:srgbClr val="005024"/>
          </a:solidFill>
          <a:ln w="25400">
            <a:solidFill>
              <a:schemeClr val="bg1"/>
            </a:solidFill>
          </a:ln>
          <a:effectLst/>
        </c:spPr>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9F6F-408E-8E97-3C9065C36350}"/>
              </c:ext>
            </c:extLst>
          </c:dPt>
          <c:dPt>
            <c:idx val="2"/>
            <c:invertIfNegative val="0"/>
            <c:bubble3D val="0"/>
            <c:extLst>
              <c:ext xmlns:c16="http://schemas.microsoft.com/office/drawing/2014/chart" uri="{C3380CC4-5D6E-409C-BE32-E72D297353CC}">
                <c16:uniqueId val="{00000001-9F6F-408E-8E97-3C9065C36350}"/>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9F6F-408E-8E97-3C9065C36350}"/>
            </c:ext>
          </c:extLst>
        </c:ser>
        <c:dLbls>
          <c:dLblPos val="outEnd"/>
          <c:showLegendKey val="0"/>
          <c:showVal val="1"/>
          <c:showCatName val="0"/>
          <c:showSerName val="0"/>
          <c:showPercent val="0"/>
          <c:showBubbleSize val="0"/>
        </c:dLbls>
        <c:gapWidth val="182"/>
        <c:axId val="907781904"/>
        <c:axId val="907782384"/>
      </c:barChart>
      <c:catAx>
        <c:axId val="90778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07782384"/>
        <c:crosses val="autoZero"/>
        <c:auto val="1"/>
        <c:lblAlgn val="ctr"/>
        <c:lblOffset val="100"/>
        <c:noMultiLvlLbl val="0"/>
      </c:catAx>
      <c:valAx>
        <c:axId val="907782384"/>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0778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7620</xdr:rowOff>
    </xdr:from>
    <xdr:to>
      <xdr:col>20</xdr:col>
      <xdr:colOff>601980</xdr:colOff>
      <xdr:row>4</xdr:row>
      <xdr:rowOff>175260</xdr:rowOff>
    </xdr:to>
    <xdr:sp macro="" textlink="">
      <xdr:nvSpPr>
        <xdr:cNvPr id="3" name="Rectangle 2">
          <a:extLst>
            <a:ext uri="{FF2B5EF4-FFF2-40B4-BE49-F238E27FC236}">
              <a16:creationId xmlns:a16="http://schemas.microsoft.com/office/drawing/2014/main" id="{565D64FB-34AE-DB97-4262-E85645F94458}"/>
            </a:ext>
          </a:extLst>
        </xdr:cNvPr>
        <xdr:cNvSpPr/>
      </xdr:nvSpPr>
      <xdr:spPr>
        <a:xfrm>
          <a:off x="160020" y="68580"/>
          <a:ext cx="12146280" cy="71628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xdr:from>
      <xdr:col>1</xdr:col>
      <xdr:colOff>15240</xdr:colOff>
      <xdr:row>15</xdr:row>
      <xdr:rowOff>38100</xdr:rowOff>
    </xdr:from>
    <xdr:to>
      <xdr:col>12</xdr:col>
      <xdr:colOff>251460</xdr:colOff>
      <xdr:row>37</xdr:row>
      <xdr:rowOff>15240</xdr:rowOff>
    </xdr:to>
    <xdr:graphicFrame macro="">
      <xdr:nvGraphicFramePr>
        <xdr:cNvPr id="4" name="Chart 3">
          <a:extLst>
            <a:ext uri="{FF2B5EF4-FFF2-40B4-BE49-F238E27FC236}">
              <a16:creationId xmlns:a16="http://schemas.microsoft.com/office/drawing/2014/main" id="{D5051F60-DADE-4439-98E8-855ED3884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xdr:colOff>
      <xdr:row>5</xdr:row>
      <xdr:rowOff>38100</xdr:rowOff>
    </xdr:from>
    <xdr:to>
      <xdr:col>14</xdr:col>
      <xdr:colOff>419100</xdr:colOff>
      <xdr:row>14</xdr:row>
      <xdr:rowOff>160020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27C43C17-CA29-4D81-9FF7-B160ADDB45F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7160" y="853440"/>
              <a:ext cx="7292340" cy="17449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480060</xdr:colOff>
      <xdr:row>9</xdr:row>
      <xdr:rowOff>121920</xdr:rowOff>
    </xdr:from>
    <xdr:to>
      <xdr:col>18</xdr:col>
      <xdr:colOff>91440</xdr:colOff>
      <xdr:row>14</xdr:row>
      <xdr:rowOff>175260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C74D815F-8AA6-434D-9B7E-2ECE7FE7EF0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526780" y="1645920"/>
              <a:ext cx="204978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129540</xdr:colOff>
      <xdr:row>9</xdr:row>
      <xdr:rowOff>121920</xdr:rowOff>
    </xdr:from>
    <xdr:to>
      <xdr:col>21</xdr:col>
      <xdr:colOff>7620</xdr:colOff>
      <xdr:row>14</xdr:row>
      <xdr:rowOff>167641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01366CEB-356C-4437-BE3A-4A0C1F75FAB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203180" y="1691641"/>
              <a:ext cx="21031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472440</xdr:colOff>
      <xdr:row>5</xdr:row>
      <xdr:rowOff>38100</xdr:rowOff>
    </xdr:from>
    <xdr:to>
      <xdr:col>21</xdr:col>
      <xdr:colOff>7620</xdr:colOff>
      <xdr:row>9</xdr:row>
      <xdr:rowOff>76201</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A2B1CFB1-2F98-4C7B-8387-E186F225612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597140" y="861061"/>
              <a:ext cx="4724400" cy="739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320040</xdr:colOff>
      <xdr:row>15</xdr:row>
      <xdr:rowOff>38100</xdr:rowOff>
    </xdr:from>
    <xdr:to>
      <xdr:col>21</xdr:col>
      <xdr:colOff>0</xdr:colOff>
      <xdr:row>25</xdr:row>
      <xdr:rowOff>0</xdr:rowOff>
    </xdr:to>
    <xdr:graphicFrame macro="">
      <xdr:nvGraphicFramePr>
        <xdr:cNvPr id="9" name="Chart 8">
          <a:extLst>
            <a:ext uri="{FF2B5EF4-FFF2-40B4-BE49-F238E27FC236}">
              <a16:creationId xmlns:a16="http://schemas.microsoft.com/office/drawing/2014/main" id="{F50B0F28-8C5C-4C3B-9CAE-E694C7870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327660</xdr:colOff>
      <xdr:row>25</xdr:row>
      <xdr:rowOff>68580</xdr:rowOff>
    </xdr:from>
    <xdr:to>
      <xdr:col>21</xdr:col>
      <xdr:colOff>15240</xdr:colOff>
      <xdr:row>37</xdr:row>
      <xdr:rowOff>22860</xdr:rowOff>
    </xdr:to>
    <xdr:graphicFrame macro="">
      <xdr:nvGraphicFramePr>
        <xdr:cNvPr id="10" name="Chart 9">
          <a:extLst>
            <a:ext uri="{FF2B5EF4-FFF2-40B4-BE49-F238E27FC236}">
              <a16:creationId xmlns:a16="http://schemas.microsoft.com/office/drawing/2014/main" id="{42A6F061-6BE1-43D7-A171-941E429F2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XXVV" refreshedDate="46146.548981597225" createdVersion="8" refreshedVersion="8" minRefreshableVersion="3" recordCount="1000" xr:uid="{E35C7EDA-37C9-4D14-AD82-ABF7006E7DF8}">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26518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A7A94-E85B-447D-B555-BBC08BD6EEC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h="1" x="2"/>
        <item x="1"/>
        <item h="1"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98656D-EB66-4C95-BDE3-7D341788D8F7}"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h="1" x="2"/>
        <item x="1"/>
        <item h="1"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3">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7" count="1" selected="0">
            <x v="0"/>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CDB38C-C0C0-4246-B1FB-A92B640215B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h="1" x="2"/>
        <item x="1"/>
        <item h="1"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7">
    <chartFormat chart="8" format="9"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6EB52A9-CAA4-4FAF-8103-AAC7FE666EA5}" sourceName="Size">
  <pivotTables>
    <pivotTable tabId="18" name="TotalSales"/>
    <pivotTable tabId="23" name="TotalSales"/>
    <pivotTable tabId="24" name="TotalSales"/>
  </pivotTables>
  <data>
    <tabular pivotCacheId="172651854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9F8C1BE-8833-4F79-85AA-8EA0D741CC62}" sourceName="Loyalty Card">
  <pivotTables>
    <pivotTable tabId="18" name="TotalSales"/>
    <pivotTable tabId="23" name="TotalSales"/>
    <pivotTable tabId="24" name="TotalSales"/>
  </pivotTables>
  <data>
    <tabular pivotCacheId="17265185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2D2C215-C3A2-47D0-8207-E4B519D23AD1}" sourceName="Roast Type Name">
  <pivotTables>
    <pivotTable tabId="18" name="TotalSales"/>
    <pivotTable tabId="23" name="TotalSales"/>
    <pivotTable tabId="24" name="TotalSales"/>
  </pivotTables>
  <data>
    <tabular pivotCacheId="172651854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D6AFC34-9353-4BB5-82FB-D08BDC158642}" cache="Slicer_Size" caption="Size" columnCount="2" rowHeight="234950"/>
  <slicer name="Loyalty Card" xr10:uid="{0FBF8BED-53D5-462A-B97B-9685EFFB347B}" cache="Slicer_Loyalty_Card" caption="Loyalty Card" rowHeight="234950"/>
  <slicer name="Roast Type Name" xr10:uid="{3CFF02C9-9B59-47F6-BA0C-AD1F6BCF7643}" cache="Slicer_Roast_Type_Name" caption="Roast Type Nam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5EDB7E-314A-4689-9CBC-AB7AB3728927}" name="Orders" displayName="Orders" ref="A1:P1001" totalsRowShown="0" headerRowDxfId="11">
  <autoFilter ref="A1:P1001" xr:uid="{375EDB7E-314A-4689-9CBC-AB7AB3728927}"/>
  <tableColumns count="16">
    <tableColumn id="1" xr3:uid="{22510D9B-A156-427A-92D7-74B443B83299}" name="Order ID" dataDxfId="10"/>
    <tableColumn id="2" xr3:uid="{252183EE-815E-4BAF-98AC-B92C3BC41302}" name="Order Date" dataDxfId="9"/>
    <tableColumn id="3" xr3:uid="{8809086B-E04F-43AA-B80A-0F67AC7FEE31}" name="Customer ID" dataDxfId="8"/>
    <tableColumn id="4" xr3:uid="{E636EF98-EFB0-45CC-9DC1-914F0C733A8B}" name="Product ID"/>
    <tableColumn id="5" xr3:uid="{A0977DA0-D278-4979-9BE7-4996992D020B}" name="Quantity" dataDxfId="7"/>
    <tableColumn id="6" xr3:uid="{10823A44-4667-46F9-9A4B-69F2AEFCD033}" name="Customer Name" dataDxfId="6">
      <calculatedColumnFormula>_xlfn.XLOOKUP(C2,customers!$A$1:$A$1001,customers!$B$1:$B$1001,,0)</calculatedColumnFormula>
    </tableColumn>
    <tableColumn id="7" xr3:uid="{6C83CF3E-E7A8-4450-93E5-944138317EC0}" name="Email" dataDxfId="5">
      <calculatedColumnFormula>IF(_xlfn.XLOOKUP(C2,customers!$A$1:$A$1001,customers!$C$1:$C$1001,,0)=0,"",_xlfn.XLOOKUP(C2,customers!$A$1:$A$1001,customers!$C$1:$C$1001,,0))</calculatedColumnFormula>
    </tableColumn>
    <tableColumn id="8" xr3:uid="{4B4C76E9-A424-4AF6-ACC3-F54119358EF5}" name="Country" dataDxfId="4">
      <calculatedColumnFormula>_xlfn.XLOOKUP(C2,customers!$A$1:$A$1001,customers!$G$1:$G$1001,,0)</calculatedColumnFormula>
    </tableColumn>
    <tableColumn id="9" xr3:uid="{A08510F5-7ADF-48DE-8469-0E6B20ACE660}" name="Coffee Type">
      <calculatedColumnFormula>INDEX(products!$A$1:$G$49,MATCH(orders!$D2,products!$A$1:$A$49,0),MATCH(orders!I$1,products!$A$1:$G$1,0))</calculatedColumnFormula>
    </tableColumn>
    <tableColumn id="10" xr3:uid="{7476FF25-543F-42E2-889A-0093E2FFFFC6}" name="Roast Type">
      <calculatedColumnFormula>INDEX(products!$A$1:$G$49,MATCH(orders!$D2,products!$A$1:$A$49,0),MATCH(orders!J$1,products!$A$1:$G$1,0))</calculatedColumnFormula>
    </tableColumn>
    <tableColumn id="11" xr3:uid="{7299918B-3896-420C-8CA6-220C27358A0A}" name="Size" dataDxfId="3">
      <calculatedColumnFormula>INDEX(products!$A$1:$G$49,MATCH(orders!$D2,products!$A$1:$A$49,0),MATCH(orders!K$1,products!$A$1:$G$1,0))</calculatedColumnFormula>
    </tableColumn>
    <tableColumn id="12" xr3:uid="{9E9AA489-B5D4-4947-B79E-E25F1082DA0C}" name="Unit Price" dataDxfId="2">
      <calculatedColumnFormula>INDEX(products!$A$1:$G$49,MATCH(orders!$D2,products!$A$1:$A$49,0),MATCH(orders!L$1,products!$A$1:$G$1,0))</calculatedColumnFormula>
    </tableColumn>
    <tableColumn id="13" xr3:uid="{917418DE-F505-4CA8-B154-76F120F437A6}" name="Sales" dataDxfId="1">
      <calculatedColumnFormula>L2*E2</calculatedColumnFormula>
    </tableColumn>
    <tableColumn id="14" xr3:uid="{EC4110F7-A41A-4D8B-BC45-791C3C2ECA28}" name="Coffee Type Name">
      <calculatedColumnFormula>IF(I2="Rob","Robusta",IF(I2="Exc","Excelsa",IF(I2="Ara","Arabica",IF(I2="Lib","Liberica",""))))</calculatedColumnFormula>
    </tableColumn>
    <tableColumn id="15" xr3:uid="{112416BF-2EDB-4CEB-9291-7B921E8FCC56}" name="Roast Type Name">
      <calculatedColumnFormula>IF(J2="M","Medium",IF(J2="L","Light",IF(J2="D","Dark","")))</calculatedColumnFormula>
    </tableColumn>
    <tableColumn id="16" xr3:uid="{DE94F0B3-45FB-4C2D-BC28-A32622E0281A}" name="Loyalty Card" dataDxfId="0">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63237FF-1A5A-4BC0-B0B7-C0A3677BAB02}" sourceName="Order Date">
  <pivotTables>
    <pivotTable tabId="18" name="TotalSales"/>
    <pivotTable tabId="23" name="TotalSales"/>
    <pivotTable tabId="24" name="TotalSales"/>
  </pivotTables>
  <state minimalRefreshVersion="6" lastRefreshVersion="6" pivotCacheId="172651854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2FB9DBF-D7BB-4D3F-9BDB-F56C5146877F}"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5546875"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64A4-176B-49B4-B810-158D3F6D2DF9}">
  <dimension ref="A1"/>
  <sheetViews>
    <sheetView showGridLines="0" showRowColHeaders="0" workbookViewId="0">
      <selection activeCell="J39" sqref="J3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669AE-D2B9-4555-B800-46261760FE8D}">
  <dimension ref="A3:F48"/>
  <sheetViews>
    <sheetView workbookViewId="0">
      <selection activeCell="R18" sqref="R18"/>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95C8-770F-4387-AB71-970A5753292C}">
  <dimension ref="A3:B6"/>
  <sheetViews>
    <sheetView workbookViewId="0">
      <selection activeCell="F25" sqref="F25"/>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A9FE-99A4-4393-9C91-FB159E4B0976}">
  <dimension ref="A3:B8"/>
  <sheetViews>
    <sheetView workbookViewId="0">
      <selection activeCell="C22" sqref="C22"/>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123"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Dashboard</vt:lpstr>
      <vt:lpstr>Total Sales</vt:lpstr>
      <vt:lpstr>CountryBarChart</vt:lpstr>
      <vt:lpstr>Top5Customers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XXXVV</dc:creator>
  <cp:keywords/>
  <dc:description/>
  <cp:lastModifiedBy>Hassan Mustapha</cp:lastModifiedBy>
  <cp:revision/>
  <dcterms:created xsi:type="dcterms:W3CDTF">2022-11-26T09:51:45Z</dcterms:created>
  <dcterms:modified xsi:type="dcterms:W3CDTF">2026-07-23T15:18:05Z</dcterms:modified>
  <cp:category/>
  <cp:contentStatus/>
</cp:coreProperties>
</file>